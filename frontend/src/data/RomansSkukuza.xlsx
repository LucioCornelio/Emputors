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GitHub\LEAT11\frontend\src\data\"/>
    </mc:Choice>
  </mc:AlternateContent>
  <xr:revisionPtr revIDLastSave="0" documentId="8_{570F47B7-77EA-4491-940D-3A820FA0E005}" xr6:coauthVersionLast="47" xr6:coauthVersionMax="47" xr10:uidLastSave="{00000000-0000-0000-0000-000000000000}"/>
  <bookViews>
    <workbookView xWindow="-108" yWindow="-108" windowWidth="30936" windowHeight="16776" xr2:uid="{7D4814E7-E001-45B9-B2ED-C3429444716F}"/>
  </bookViews>
  <sheets>
    <sheet name="RomansSkukuza" sheetId="1" r:id="rId1"/>
  </sheets>
  <definedNames>
    <definedName name="_xlnm.Print_Area" localSheetId="0">RomansSkukuza!$B$2:$K$48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1" l="1"/>
  <c r="C27" i="1" s="1"/>
  <c r="D25" i="1"/>
  <c r="C25" i="1"/>
  <c r="D23" i="1"/>
  <c r="C23" i="1"/>
  <c r="D18" i="1"/>
  <c r="C18" i="1"/>
  <c r="D17" i="1"/>
  <c r="C17" i="1"/>
  <c r="D16" i="1"/>
  <c r="C16" i="1"/>
  <c r="D11" i="1"/>
  <c r="C11" i="1"/>
  <c r="D10" i="1"/>
  <c r="C10" i="1" s="1"/>
  <c r="D9" i="1"/>
  <c r="C9" i="1"/>
  <c r="D8" i="1"/>
  <c r="C8" i="1"/>
  <c r="D7" i="1"/>
  <c r="C7" i="1" s="1"/>
  <c r="D5" i="1"/>
  <c r="C5" i="1"/>
</calcChain>
</file>

<file path=xl/sharedStrings.xml><?xml version="1.0" encoding="utf-8"?>
<sst xmlns="http://schemas.openxmlformats.org/spreadsheetml/2006/main" count="50" uniqueCount="50">
  <si>
    <t>Romans Skukuza</t>
  </si>
  <si>
    <t>Û</t>
  </si>
  <si>
    <t>Back to Index</t>
  </si>
  <si>
    <t>Instruction</t>
  </si>
  <si>
    <t>Pop</t>
  </si>
  <si>
    <t>Vils</t>
  </si>
  <si>
    <t>Wood</t>
  </si>
  <si>
    <t>Food under TC</t>
  </si>
  <si>
    <t>Hunt</t>
  </si>
  <si>
    <t>Farms</t>
  </si>
  <si>
    <t>Gold</t>
  </si>
  <si>
    <t>Stone</t>
  </si>
  <si>
    <t>Builder</t>
  </si>
  <si>
    <t>Detailed instruction</t>
  </si>
  <si>
    <r>
      <t xml:space="preserve">6 </t>
    </r>
    <r>
      <rPr>
        <sz val="11"/>
        <color theme="5"/>
        <rFont val="Bahnschrift Light SemiCondensed"/>
        <family val="2"/>
        <scheme val="minor"/>
      </rPr>
      <t>sheep</t>
    </r>
  </si>
  <si>
    <t>Scout to search sheep behind TC (2 packs) and then push deer non-stop</t>
  </si>
  <si>
    <t>3 vils to hunt (center)— First vil builds Mill</t>
  </si>
  <si>
    <r>
      <t xml:space="preserve">2 </t>
    </r>
    <r>
      <rPr>
        <sz val="11"/>
        <color theme="4"/>
        <rFont val="Bahnschrift Light SemiCondensed"/>
        <family val="2"/>
        <scheme val="minor"/>
      </rPr>
      <t>wood</t>
    </r>
    <r>
      <rPr>
        <sz val="11"/>
        <color theme="1"/>
        <rFont val="Bahnschrift Light SemiCondensed"/>
        <family val="2"/>
        <scheme val="minor"/>
      </rPr>
      <t xml:space="preserve"> (strugglers)</t>
    </r>
  </si>
  <si>
    <t>4 vils to hunt (center)— First vil builds House</t>
  </si>
  <si>
    <r>
      <t xml:space="preserve">3 </t>
    </r>
    <r>
      <rPr>
        <sz val="11"/>
        <color theme="4"/>
        <rFont val="Bahnschrift Light SemiCondensed"/>
        <family val="2"/>
        <scheme val="minor"/>
      </rPr>
      <t>wood</t>
    </r>
    <r>
      <rPr>
        <sz val="11"/>
        <color theme="1"/>
        <rFont val="Bahnschrift Light SemiCondensed"/>
        <family val="2"/>
        <scheme val="minor"/>
      </rPr>
      <t xml:space="preserve"> - First vil builds Lumber Camp, queue stragglers to a tree in tree line</t>
    </r>
  </si>
  <si>
    <r>
      <t xml:space="preserve">6 from food under TC to </t>
    </r>
    <r>
      <rPr>
        <sz val="11"/>
        <color theme="4"/>
        <rFont val="Bahnschrift Light SemiCondensed"/>
        <family val="2"/>
        <scheme val="minor"/>
      </rPr>
      <t>strugglers (@500 food)</t>
    </r>
  </si>
  <si>
    <t>Loom</t>
  </si>
  <si>
    <t>Click Feudal</t>
  </si>
  <si>
    <t>Advancing to Feudal</t>
  </si>
  <si>
    <t>Build barracks with 3 vils from fish (then back to fish)</t>
  </si>
  <si>
    <t>When wood almost enough to Mining Camp 3 from strugglers to gold and build Mining Camp when possible</t>
  </si>
  <si>
    <t>1 from strugglers to wood line</t>
  </si>
  <si>
    <t>3 from strugglers to Hunt</t>
  </si>
  <si>
    <t>Train 3 militias</t>
  </si>
  <si>
    <t>Feudal</t>
  </si>
  <si>
    <t>Men-at-arms</t>
  </si>
  <si>
    <t>Blacksmith (walling on LC) with 3 vils</t>
  </si>
  <si>
    <r>
      <rPr>
        <sz val="11"/>
        <color theme="1"/>
        <rFont val="Wingdings"/>
        <charset val="2"/>
      </rPr>
      <t>á</t>
    </r>
    <r>
      <rPr>
        <sz val="11"/>
        <color theme="1"/>
        <rFont val="Bahnschrift Light SemiCondensed"/>
        <family val="2"/>
      </rPr>
      <t xml:space="preserve"> 14 </t>
    </r>
    <r>
      <rPr>
        <sz val="11"/>
        <color theme="5"/>
        <rFont val="Bahnschrift Light SemiCondensed"/>
        <family val="2"/>
      </rPr>
      <t xml:space="preserve">hunt </t>
    </r>
    <r>
      <rPr>
        <sz val="11"/>
        <rFont val="Bahnschrift Light SemiCondensed"/>
        <family val="2"/>
      </rPr>
      <t>(Mill when required)</t>
    </r>
  </si>
  <si>
    <t>MORE MEN-AT-ARMS (Adapt with spears/skirms)</t>
  </si>
  <si>
    <r>
      <rPr>
        <sz val="11"/>
        <color theme="1"/>
        <rFont val="Wingdings"/>
        <charset val="2"/>
      </rPr>
      <t>á</t>
    </r>
    <r>
      <rPr>
        <sz val="11"/>
        <color theme="1"/>
        <rFont val="Bahnschrift Light SemiCondensed"/>
        <family val="2"/>
      </rPr>
      <t xml:space="preserve"> 14 </t>
    </r>
    <r>
      <rPr>
        <sz val="11"/>
        <color theme="4"/>
        <rFont val="Bahnschrift Light SemiCondensed"/>
        <family val="2"/>
      </rPr>
      <t>wood</t>
    </r>
    <r>
      <rPr>
        <sz val="11"/>
        <color theme="5"/>
        <rFont val="Bahnschrift Light SemiCondensed"/>
        <family val="2"/>
      </rPr>
      <t xml:space="preserve"> </t>
    </r>
    <r>
      <rPr>
        <sz val="11"/>
        <rFont val="Bahnschrift Light SemiCondensed"/>
        <family val="2"/>
      </rPr>
      <t>(Mill when required)</t>
    </r>
  </si>
  <si>
    <t>Build archery range (if they go archers)</t>
  </si>
  <si>
    <t>3 gold</t>
  </si>
  <si>
    <t>Market</t>
  </si>
  <si>
    <t>Click Castle</t>
  </si>
  <si>
    <t>Advancing to Castle</t>
  </si>
  <si>
    <t>Forging</t>
  </si>
  <si>
    <t>2nd Barrack</t>
  </si>
  <si>
    <t>Double-Bit Axe</t>
  </si>
  <si>
    <t>Horse Collar if farming</t>
  </si>
  <si>
    <t>Castle Age</t>
  </si>
  <si>
    <t>Long Swordsman</t>
  </si>
  <si>
    <t>Chain Mail Armor</t>
  </si>
  <si>
    <t>Squires</t>
  </si>
  <si>
    <t>Defensive Building (Monastery or Siege Workshop)</t>
  </si>
  <si>
    <t>Full Long Swordman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</si>
</sst>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Bahnschrift Light SemiCondensed"/>
      <family val="2"/>
      <scheme val="minor"/>
    </font>
    <font>
      <u/>
      <sz val="11"/>
      <color theme="10"/>
      <name val="Bahnschrift Light SemiCondensed"/>
      <family val="2"/>
      <scheme val="minor"/>
    </font>
    <font>
      <sz val="14"/>
      <color theme="1"/>
      <name val="Bahnschrift SemiBold SemiConden"/>
      <family val="2"/>
    </font>
    <font>
      <sz val="11"/>
      <color theme="10"/>
      <name val="Wingdings"/>
      <charset val="2"/>
    </font>
    <font>
      <sz val="11"/>
      <color theme="10"/>
      <name val="Bahnschrift Light SemiCondensed"/>
      <family val="2"/>
      <scheme val="minor"/>
    </font>
    <font>
      <sz val="11"/>
      <color theme="1"/>
      <name val="Bahnschrift SemiBold SemiConden"/>
      <family val="2"/>
    </font>
    <font>
      <sz val="11"/>
      <color theme="4"/>
      <name val="Bahnschrift SemiBold SemiConden"/>
      <family val="2"/>
    </font>
    <font>
      <sz val="11"/>
      <color theme="5"/>
      <name val="Bahnschrift SemiBold SemiConden"/>
      <family val="2"/>
    </font>
    <font>
      <sz val="11"/>
      <color theme="7"/>
      <name val="Bahnschrift SemiBold SemiConden"/>
      <family val="2"/>
    </font>
    <font>
      <sz val="11"/>
      <color theme="6"/>
      <name val="Bahnschrift SemiBold SemiConden"/>
      <family val="2"/>
    </font>
    <font>
      <sz val="11"/>
      <color theme="5"/>
      <name val="Bahnschrift Light SemiCondensed"/>
      <family val="2"/>
      <scheme val="minor"/>
    </font>
    <font>
      <b/>
      <sz val="11"/>
      <color theme="5"/>
      <name val="Bahnschrift Light SemiCondensed"/>
      <family val="2"/>
      <scheme val="minor"/>
    </font>
    <font>
      <sz val="11"/>
      <color theme="4"/>
      <name val="Bahnschrift Light SemiCondensed"/>
      <family val="2"/>
      <scheme val="minor"/>
    </font>
    <font>
      <b/>
      <sz val="11"/>
      <color theme="4"/>
      <name val="Bahnschrift Light SemiCondensed"/>
      <family val="2"/>
      <scheme val="minor"/>
    </font>
    <font>
      <sz val="11"/>
      <color theme="1"/>
      <name val="Bahnschrift Light SemiCondensed"/>
      <family val="2"/>
      <charset val="2"/>
    </font>
    <font>
      <sz val="11"/>
      <color theme="1"/>
      <name val="Wingdings"/>
      <charset val="2"/>
    </font>
    <font>
      <sz val="11"/>
      <color theme="1"/>
      <name val="Bahnschrift Light SemiCondensed"/>
      <family val="2"/>
    </font>
    <font>
      <sz val="11"/>
      <color theme="5"/>
      <name val="Bahnschrift Light SemiCondensed"/>
      <family val="2"/>
    </font>
    <font>
      <sz val="11"/>
      <name val="Bahnschrift Light SemiCondensed"/>
      <family val="2"/>
    </font>
    <font>
      <sz val="11"/>
      <color theme="4"/>
      <name val="Bahnschrift Light SemiCondensed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1" applyFont="1" applyAlignment="1">
      <alignment horizontal="right"/>
    </xf>
    <xf numFmtId="0" fontId="4" fillId="0" borderId="0" xfId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A643E"/>
      </a:accent1>
      <a:accent2>
        <a:srgbClr val="A4000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">
      <a:majorFont>
        <a:latin typeface="Bahnschrift Light"/>
        <a:ea typeface=""/>
        <a:cs typeface=""/>
      </a:majorFont>
      <a:minorFont>
        <a:latin typeface="Bahnschrift Light SemiCondens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6363-0758-4CCA-B456-24852B51E9F1}">
  <sheetPr>
    <tabColor theme="9"/>
    <pageSetUpPr fitToPage="1"/>
  </sheetPr>
  <dimension ref="B2:L40"/>
  <sheetViews>
    <sheetView showGridLines="0" tabSelected="1" workbookViewId="0">
      <selection activeCell="G19" sqref="G19"/>
    </sheetView>
  </sheetViews>
  <sheetFormatPr defaultRowHeight="13.8"/>
  <cols>
    <col min="1" max="1" width="2.6640625" customWidth="1"/>
    <col min="2" max="2" width="61.33203125" bestFit="1" customWidth="1"/>
    <col min="3" max="5" width="8.88671875" style="2"/>
    <col min="6" max="6" width="11.77734375" style="2" bestFit="1" customWidth="1"/>
    <col min="7" max="11" width="8.88671875" style="2"/>
    <col min="12" max="12" width="73.77734375" customWidth="1"/>
  </cols>
  <sheetData>
    <row r="2" spans="2:12" ht="17.399999999999999">
      <c r="B2" s="1" t="s">
        <v>0</v>
      </c>
      <c r="K2" s="3" t="s">
        <v>1</v>
      </c>
      <c r="L2" s="4" t="s">
        <v>2</v>
      </c>
    </row>
    <row r="4" spans="2:12">
      <c r="B4" s="5" t="s">
        <v>3</v>
      </c>
      <c r="C4" s="6" t="s">
        <v>4</v>
      </c>
      <c r="D4" s="6" t="s">
        <v>5</v>
      </c>
      <c r="E4" s="7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10" t="s">
        <v>11</v>
      </c>
      <c r="K4" s="6" t="s">
        <v>12</v>
      </c>
      <c r="L4" s="5" t="s">
        <v>13</v>
      </c>
    </row>
    <row r="5" spans="2:12">
      <c r="B5" t="s">
        <v>14</v>
      </c>
      <c r="C5" s="11">
        <f>D5+1</f>
        <v>7</v>
      </c>
      <c r="D5" s="12">
        <f t="shared" ref="D5:D11" si="0">SUM(E5:K5)</f>
        <v>6</v>
      </c>
      <c r="E5" s="12"/>
      <c r="F5" s="13">
        <v>6</v>
      </c>
      <c r="G5" s="12"/>
      <c r="H5" s="12"/>
      <c r="I5" s="12"/>
      <c r="J5" s="12"/>
      <c r="K5" s="12"/>
    </row>
    <row r="6" spans="2:12">
      <c r="B6" t="s">
        <v>15</v>
      </c>
      <c r="C6" s="14"/>
      <c r="D6" s="15"/>
      <c r="E6" s="15"/>
      <c r="F6" s="16"/>
      <c r="G6" s="15"/>
      <c r="H6" s="15"/>
      <c r="I6" s="15"/>
      <c r="J6" s="15"/>
      <c r="K6" s="15"/>
    </row>
    <row r="7" spans="2:12">
      <c r="B7" t="s">
        <v>16</v>
      </c>
      <c r="C7" s="14">
        <f t="shared" ref="C7:C11" si="1">D7+1</f>
        <v>10</v>
      </c>
      <c r="D7" s="15">
        <f t="shared" ref="D7" si="2">SUM(E7:K7)</f>
        <v>9</v>
      </c>
      <c r="E7" s="15"/>
      <c r="F7" s="15">
        <v>6</v>
      </c>
      <c r="G7" s="16">
        <v>3</v>
      </c>
      <c r="H7" s="15"/>
      <c r="I7" s="15"/>
      <c r="J7" s="15"/>
      <c r="K7" s="15"/>
    </row>
    <row r="8" spans="2:12">
      <c r="B8" t="s">
        <v>17</v>
      </c>
      <c r="C8" s="14">
        <f t="shared" si="1"/>
        <v>12</v>
      </c>
      <c r="D8" s="15">
        <f t="shared" si="0"/>
        <v>11</v>
      </c>
      <c r="E8" s="17">
        <v>2</v>
      </c>
      <c r="F8" s="15">
        <v>6</v>
      </c>
      <c r="G8" s="15">
        <v>3</v>
      </c>
      <c r="H8" s="15"/>
      <c r="I8" s="15"/>
      <c r="J8" s="15"/>
      <c r="K8" s="15"/>
    </row>
    <row r="9" spans="2:12">
      <c r="B9" t="s">
        <v>18</v>
      </c>
      <c r="C9" s="14">
        <f t="shared" si="1"/>
        <v>16</v>
      </c>
      <c r="D9" s="15">
        <f t="shared" si="0"/>
        <v>15</v>
      </c>
      <c r="E9" s="15">
        <v>2</v>
      </c>
      <c r="F9" s="15">
        <v>6</v>
      </c>
      <c r="G9" s="16">
        <v>7</v>
      </c>
      <c r="H9" s="15"/>
      <c r="I9" s="15"/>
      <c r="J9" s="15"/>
      <c r="K9" s="15"/>
    </row>
    <row r="10" spans="2:12">
      <c r="B10" t="s">
        <v>19</v>
      </c>
      <c r="C10" s="14">
        <f t="shared" si="1"/>
        <v>19</v>
      </c>
      <c r="D10" s="15">
        <f t="shared" si="0"/>
        <v>18</v>
      </c>
      <c r="E10" s="17">
        <v>5</v>
      </c>
      <c r="F10" s="15">
        <v>6</v>
      </c>
      <c r="G10" s="16">
        <v>7</v>
      </c>
      <c r="H10" s="15"/>
      <c r="I10" s="15"/>
      <c r="J10" s="15"/>
      <c r="K10" s="15"/>
    </row>
    <row r="11" spans="2:12">
      <c r="B11" t="s">
        <v>20</v>
      </c>
      <c r="C11" s="14">
        <f t="shared" si="1"/>
        <v>19</v>
      </c>
      <c r="D11" s="15">
        <f t="shared" si="0"/>
        <v>18</v>
      </c>
      <c r="E11" s="18">
        <v>11</v>
      </c>
      <c r="F11" s="19">
        <v>0</v>
      </c>
      <c r="G11" s="16">
        <v>7</v>
      </c>
      <c r="H11" s="15"/>
      <c r="I11" s="15"/>
      <c r="J11" s="15"/>
      <c r="K11" s="15"/>
    </row>
    <row r="12" spans="2:12">
      <c r="B12" t="s">
        <v>21</v>
      </c>
      <c r="C12" s="14"/>
      <c r="D12" s="15"/>
      <c r="E12" s="15"/>
      <c r="F12" s="15"/>
      <c r="G12" s="15"/>
      <c r="H12" s="15"/>
      <c r="I12" s="15"/>
      <c r="J12" s="15"/>
      <c r="K12" s="15"/>
    </row>
    <row r="13" spans="2:12">
      <c r="B13" t="s">
        <v>22</v>
      </c>
      <c r="C13" s="14"/>
      <c r="D13" s="15"/>
      <c r="E13" s="15"/>
      <c r="F13" s="15"/>
      <c r="G13" s="15"/>
      <c r="H13" s="15"/>
      <c r="I13" s="15"/>
      <c r="J13" s="15"/>
      <c r="K13" s="15"/>
    </row>
    <row r="14" spans="2:12">
      <c r="B14" s="5" t="s">
        <v>23</v>
      </c>
      <c r="C14" s="20"/>
      <c r="D14" s="21"/>
      <c r="E14" s="21"/>
      <c r="F14" s="21"/>
      <c r="G14" s="21"/>
      <c r="H14" s="21"/>
      <c r="I14" s="21"/>
      <c r="J14" s="21"/>
      <c r="K14" s="21"/>
      <c r="L14" s="22"/>
    </row>
    <row r="15" spans="2:12">
      <c r="B15" t="s">
        <v>24</v>
      </c>
      <c r="C15" s="14"/>
      <c r="D15" s="15"/>
      <c r="E15" s="15"/>
      <c r="F15" s="15"/>
      <c r="G15" s="15"/>
      <c r="H15" s="15"/>
      <c r="I15" s="15"/>
      <c r="J15" s="15"/>
      <c r="K15" s="15"/>
    </row>
    <row r="16" spans="2:12">
      <c r="B16" t="s">
        <v>25</v>
      </c>
      <c r="C16" s="14">
        <f t="shared" ref="C16:C18" si="3">D16+1</f>
        <v>19</v>
      </c>
      <c r="D16" s="15">
        <f t="shared" ref="D16:D18" si="4">SUM(E16:K16)</f>
        <v>18</v>
      </c>
      <c r="E16" s="18">
        <v>8</v>
      </c>
      <c r="F16" s="19">
        <v>0</v>
      </c>
      <c r="G16" s="16">
        <v>7</v>
      </c>
      <c r="H16" s="15"/>
      <c r="I16" s="17">
        <v>3</v>
      </c>
      <c r="J16" s="15"/>
      <c r="K16" s="15"/>
    </row>
    <row r="17" spans="2:12">
      <c r="B17" t="s">
        <v>26</v>
      </c>
      <c r="C17" s="14">
        <f t="shared" si="3"/>
        <v>19</v>
      </c>
      <c r="D17" s="15">
        <f t="shared" si="4"/>
        <v>18</v>
      </c>
      <c r="E17" s="18">
        <v>8</v>
      </c>
      <c r="F17" s="19">
        <v>0</v>
      </c>
      <c r="G17" s="16">
        <v>7</v>
      </c>
      <c r="H17" s="15"/>
      <c r="I17" s="17">
        <v>3</v>
      </c>
      <c r="J17" s="15"/>
      <c r="K17" s="15"/>
    </row>
    <row r="18" spans="2:12">
      <c r="B18" t="s">
        <v>27</v>
      </c>
      <c r="C18" s="14">
        <f t="shared" si="3"/>
        <v>19</v>
      </c>
      <c r="D18" s="15">
        <f t="shared" si="4"/>
        <v>18</v>
      </c>
      <c r="E18" s="18">
        <v>6</v>
      </c>
      <c r="F18" s="19">
        <v>0</v>
      </c>
      <c r="G18" s="16">
        <v>9</v>
      </c>
      <c r="H18" s="15"/>
      <c r="I18" s="17">
        <v>3</v>
      </c>
      <c r="J18" s="15"/>
      <c r="K18" s="15"/>
    </row>
    <row r="19" spans="2:12">
      <c r="B19" t="s">
        <v>28</v>
      </c>
      <c r="C19" s="14"/>
      <c r="D19" s="15"/>
      <c r="E19" s="15"/>
      <c r="F19" s="15"/>
      <c r="G19" s="15"/>
      <c r="H19" s="15"/>
      <c r="I19" s="15"/>
      <c r="J19" s="15"/>
      <c r="K19" s="15"/>
    </row>
    <row r="20" spans="2:12">
      <c r="B20" s="5" t="s">
        <v>29</v>
      </c>
      <c r="C20" s="20"/>
      <c r="D20" s="21"/>
      <c r="E20" s="21"/>
      <c r="F20" s="21"/>
      <c r="G20" s="21"/>
      <c r="H20" s="21"/>
      <c r="I20" s="21"/>
      <c r="J20" s="21"/>
      <c r="K20" s="21"/>
      <c r="L20" s="22"/>
    </row>
    <row r="21" spans="2:12">
      <c r="B21" t="s">
        <v>30</v>
      </c>
      <c r="C21" s="14"/>
      <c r="D21" s="15"/>
      <c r="E21" s="15"/>
      <c r="F21" s="15"/>
      <c r="G21" s="15"/>
      <c r="H21" s="15"/>
      <c r="I21" s="15"/>
      <c r="J21" s="15"/>
      <c r="K21" s="15"/>
    </row>
    <row r="22" spans="2:12">
      <c r="B22" t="s">
        <v>31</v>
      </c>
      <c r="C22" s="14"/>
      <c r="D22" s="15"/>
      <c r="E22" s="15"/>
      <c r="F22" s="15"/>
      <c r="G22" s="15"/>
      <c r="H22" s="15"/>
      <c r="I22" s="15"/>
      <c r="J22" s="15"/>
      <c r="K22" s="15"/>
    </row>
    <row r="23" spans="2:12">
      <c r="B23" s="23" t="s">
        <v>32</v>
      </c>
      <c r="C23" s="14">
        <f t="shared" ref="C23" si="5">D23+1</f>
        <v>24</v>
      </c>
      <c r="D23" s="15">
        <f t="shared" ref="D23" si="6">SUM(E23:K23)</f>
        <v>23</v>
      </c>
      <c r="E23" s="15">
        <v>6</v>
      </c>
      <c r="F23" s="15"/>
      <c r="G23" s="16">
        <v>14</v>
      </c>
      <c r="H23" s="15"/>
      <c r="I23" s="15">
        <v>3</v>
      </c>
      <c r="J23" s="15"/>
      <c r="K23" s="15"/>
    </row>
    <row r="24" spans="2:12">
      <c r="B24" t="s">
        <v>33</v>
      </c>
      <c r="C24" s="14"/>
      <c r="D24" s="15"/>
      <c r="E24" s="15"/>
      <c r="F24" s="15"/>
      <c r="G24" s="15"/>
      <c r="H24" s="15"/>
      <c r="I24" s="15"/>
      <c r="J24" s="15"/>
      <c r="K24" s="15"/>
    </row>
    <row r="25" spans="2:12">
      <c r="B25" s="23" t="s">
        <v>34</v>
      </c>
      <c r="C25" s="14">
        <f t="shared" ref="C25" si="7">D25+1</f>
        <v>30</v>
      </c>
      <c r="D25" s="15">
        <f t="shared" ref="D25" si="8">SUM(E25:K25)</f>
        <v>29</v>
      </c>
      <c r="E25" s="17">
        <v>12</v>
      </c>
      <c r="F25" s="15"/>
      <c r="G25" s="15">
        <v>14</v>
      </c>
      <c r="H25" s="15"/>
      <c r="I25" s="15">
        <v>3</v>
      </c>
      <c r="J25" s="15"/>
      <c r="K25" s="15"/>
    </row>
    <row r="26" spans="2:12">
      <c r="B26" t="s">
        <v>35</v>
      </c>
      <c r="C26" s="14"/>
      <c r="D26" s="15"/>
      <c r="E26" s="15"/>
      <c r="F26" s="15"/>
      <c r="G26" s="15"/>
      <c r="H26" s="15"/>
      <c r="I26" s="15"/>
      <c r="J26" s="15"/>
      <c r="K26" s="15"/>
    </row>
    <row r="27" spans="2:12">
      <c r="B27" t="s">
        <v>36</v>
      </c>
      <c r="C27" s="14">
        <f t="shared" ref="C27" si="9">D27+1</f>
        <v>38</v>
      </c>
      <c r="D27" s="15">
        <f t="shared" ref="D27" si="10">SUM(E27:K27)</f>
        <v>37</v>
      </c>
      <c r="E27" s="15">
        <v>12</v>
      </c>
      <c r="F27" s="15"/>
      <c r="G27" s="15">
        <v>19</v>
      </c>
      <c r="H27" s="15"/>
      <c r="I27" s="17">
        <v>6</v>
      </c>
      <c r="J27" s="15"/>
      <c r="K27" s="15"/>
    </row>
    <row r="28" spans="2:12">
      <c r="B28" t="s">
        <v>37</v>
      </c>
      <c r="C28" s="14"/>
      <c r="D28" s="15"/>
      <c r="E28" s="15"/>
      <c r="F28" s="15"/>
      <c r="G28" s="15"/>
      <c r="H28" s="15"/>
      <c r="I28" s="15"/>
      <c r="J28" s="15"/>
      <c r="K28" s="15"/>
    </row>
    <row r="29" spans="2:12">
      <c r="B29" t="s">
        <v>38</v>
      </c>
      <c r="C29" s="14"/>
      <c r="D29" s="15"/>
      <c r="E29" s="15"/>
      <c r="F29" s="15"/>
      <c r="G29" s="15"/>
      <c r="H29" s="15"/>
      <c r="I29" s="15"/>
      <c r="J29" s="15"/>
      <c r="K29" s="15"/>
    </row>
    <row r="30" spans="2:12">
      <c r="B30" s="5" t="s">
        <v>39</v>
      </c>
      <c r="C30" s="20"/>
      <c r="D30" s="21"/>
      <c r="E30" s="21"/>
      <c r="F30" s="21"/>
      <c r="G30" s="21"/>
      <c r="H30" s="21"/>
      <c r="I30" s="21"/>
      <c r="J30" s="21"/>
      <c r="K30" s="21"/>
      <c r="L30" s="22"/>
    </row>
    <row r="31" spans="2:12">
      <c r="B31" t="s">
        <v>40</v>
      </c>
      <c r="C31" s="14"/>
      <c r="D31" s="15"/>
      <c r="E31" s="15"/>
      <c r="F31" s="15"/>
      <c r="G31" s="15"/>
      <c r="H31" s="15"/>
      <c r="I31" s="15"/>
      <c r="J31" s="15"/>
      <c r="K31" s="15"/>
    </row>
    <row r="32" spans="2:12">
      <c r="B32" t="s">
        <v>41</v>
      </c>
      <c r="C32" s="14"/>
      <c r="D32" s="15"/>
      <c r="E32" s="15"/>
      <c r="F32" s="15"/>
      <c r="G32" s="15"/>
      <c r="H32" s="15"/>
      <c r="I32" s="15"/>
      <c r="J32" s="15"/>
      <c r="K32" s="15"/>
    </row>
    <row r="33" spans="2:12">
      <c r="B33" t="s">
        <v>42</v>
      </c>
      <c r="C33" s="14"/>
      <c r="D33" s="15"/>
      <c r="E33" s="15"/>
      <c r="F33" s="15"/>
      <c r="G33" s="15"/>
      <c r="H33" s="15"/>
      <c r="I33" s="15"/>
      <c r="J33" s="15"/>
      <c r="K33" s="15"/>
    </row>
    <row r="34" spans="2:12">
      <c r="B34" t="s">
        <v>43</v>
      </c>
      <c r="C34" s="14"/>
      <c r="D34" s="15"/>
      <c r="E34" s="15"/>
      <c r="F34" s="15"/>
      <c r="G34" s="15"/>
      <c r="H34" s="15"/>
      <c r="I34" s="15"/>
      <c r="J34" s="15"/>
      <c r="K34" s="15"/>
    </row>
    <row r="35" spans="2:12">
      <c r="B35" s="5" t="s">
        <v>44</v>
      </c>
      <c r="C35" s="20"/>
      <c r="D35" s="21"/>
      <c r="E35" s="21"/>
      <c r="F35" s="21"/>
      <c r="G35" s="21"/>
      <c r="H35" s="21"/>
      <c r="I35" s="21"/>
      <c r="J35" s="21"/>
      <c r="K35" s="21"/>
      <c r="L35" s="22"/>
    </row>
    <row r="36" spans="2:12">
      <c r="B36" t="s">
        <v>45</v>
      </c>
      <c r="C36" s="14"/>
      <c r="D36" s="15"/>
      <c r="E36" s="15"/>
      <c r="F36" s="15"/>
      <c r="G36" s="15"/>
      <c r="H36" s="15"/>
      <c r="I36" s="15"/>
      <c r="J36" s="15"/>
      <c r="K36" s="15"/>
    </row>
    <row r="37" spans="2:12">
      <c r="B37" t="s">
        <v>46</v>
      </c>
      <c r="D37" s="15"/>
      <c r="E37" s="15"/>
      <c r="F37" s="15"/>
      <c r="G37" s="15"/>
      <c r="H37" s="15"/>
      <c r="I37" s="15"/>
      <c r="J37" s="15"/>
      <c r="K37" s="15"/>
    </row>
    <row r="38" spans="2:12">
      <c r="B38" t="s">
        <v>47</v>
      </c>
      <c r="D38" s="15"/>
      <c r="E38" s="15"/>
      <c r="F38" s="15"/>
      <c r="G38" s="15"/>
      <c r="H38" s="15"/>
      <c r="I38" s="15"/>
      <c r="J38" s="15"/>
      <c r="K38" s="15"/>
    </row>
    <row r="39" spans="2:12">
      <c r="B39" t="s">
        <v>48</v>
      </c>
      <c r="D39" s="15"/>
      <c r="E39" s="15"/>
      <c r="F39" s="15"/>
      <c r="G39" s="15"/>
      <c r="H39" s="15"/>
      <c r="I39" s="15"/>
      <c r="J39" s="15"/>
      <c r="K39" s="15"/>
    </row>
    <row r="40" spans="2:12">
      <c r="B40" t="s">
        <v>49</v>
      </c>
      <c r="D40" s="15"/>
      <c r="E40" s="15"/>
      <c r="F40" s="15"/>
      <c r="G40" s="15"/>
      <c r="H40" s="15"/>
      <c r="I40" s="15"/>
      <c r="J40" s="15"/>
      <c r="K40" s="15"/>
    </row>
  </sheetData>
  <hyperlinks>
    <hyperlink ref="L2" location="Index!A1" display="Back to Index" xr:uid="{70DDF4EE-CB25-4F3F-9C05-03AC0906B3F1}"/>
    <hyperlink ref="K2" location="Index!A1" display="Û" xr:uid="{8AF69C32-CD5C-4022-8110-0348D454DCB5}"/>
  </hyperlinks>
  <pageMargins left="0.25" right="0.25" top="0.75" bottom="0.75" header="0.3" footer="0.3"/>
  <pageSetup paperSize="9" scale="9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RomansSkukuza</vt:lpstr>
      <vt:lpstr>RomansSkukuza!Print_Area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Loscertales</dc:creator>
  <cp:lastModifiedBy>Javier Loscertales</cp:lastModifiedBy>
  <dcterms:created xsi:type="dcterms:W3CDTF">2026-04-23T11:50:04Z</dcterms:created>
  <dcterms:modified xsi:type="dcterms:W3CDTF">2026-04-23T11:50:36Z</dcterms:modified>
</cp:coreProperties>
</file>